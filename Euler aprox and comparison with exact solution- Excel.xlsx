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Desktop\AAdifraf\AMMUB\"/>
    </mc:Choice>
  </mc:AlternateContent>
  <xr:revisionPtr revIDLastSave="0" documentId="13_ncr:1_{F70AD35E-7250-484E-81DA-0DCF221BD7BF}" xr6:coauthVersionLast="47" xr6:coauthVersionMax="47" xr10:uidLastSave="{00000000-0000-0000-0000-000000000000}"/>
  <bookViews>
    <workbookView xWindow="-108" yWindow="-108" windowWidth="23256" windowHeight="12456" xr2:uid="{B61D512A-4DB9-4A66-B7B9-C93FD69E2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  <c r="E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2" i="1"/>
  <c r="E3" i="1"/>
  <c r="E2" i="1"/>
  <c r="D3" i="1"/>
  <c r="C3" i="1"/>
  <c r="D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C4" i="1" l="1"/>
  <c r="D4" i="1"/>
  <c r="C5" i="1" s="1"/>
  <c r="D5" i="1" l="1"/>
  <c r="E5" i="1" l="1"/>
  <c r="C6" i="1" l="1"/>
  <c r="D6" i="1"/>
  <c r="E6" i="1" l="1"/>
  <c r="C7" i="1" l="1"/>
  <c r="D7" i="1"/>
  <c r="E7" i="1" l="1"/>
  <c r="C8" i="1" l="1"/>
  <c r="D8" i="1" s="1"/>
  <c r="E8" i="1" l="1"/>
  <c r="C9" i="1" l="1"/>
  <c r="D9" i="1" s="1"/>
  <c r="E9" i="1" l="1"/>
  <c r="C10" i="1" l="1"/>
  <c r="D10" i="1"/>
  <c r="E10" i="1" l="1"/>
  <c r="C11" i="1" l="1"/>
  <c r="D11" i="1"/>
  <c r="E11" i="1" l="1"/>
  <c r="C12" i="1" l="1"/>
  <c r="D12" i="1"/>
  <c r="E12" i="1" l="1"/>
  <c r="C13" i="1" l="1"/>
  <c r="D13" i="1"/>
  <c r="E13" i="1" l="1"/>
  <c r="C14" i="1" l="1"/>
  <c r="D14" i="1"/>
  <c r="E14" i="1" l="1"/>
  <c r="C15" i="1" l="1"/>
  <c r="D15" i="1" s="1"/>
  <c r="E15" i="1" l="1"/>
  <c r="C16" i="1" l="1"/>
  <c r="D16" i="1" s="1"/>
  <c r="E16" i="1" l="1"/>
  <c r="C17" i="1" l="1"/>
  <c r="D17" i="1"/>
  <c r="E17" i="1" l="1"/>
  <c r="C18" i="1" l="1"/>
  <c r="D18" i="1" s="1"/>
  <c r="E18" i="1" s="1"/>
  <c r="C19" i="1" l="1"/>
  <c r="D19" i="1"/>
  <c r="E19" i="1"/>
  <c r="C20" i="1" l="1"/>
  <c r="D20" i="1" l="1"/>
  <c r="E20" i="1" l="1"/>
  <c r="C21" i="1" l="1"/>
  <c r="D21" i="1"/>
  <c r="E21" i="1" l="1"/>
  <c r="C22" i="1" l="1"/>
  <c r="D22" i="1"/>
  <c r="E22" i="1" l="1"/>
  <c r="C23" i="1" l="1"/>
  <c r="D23" i="1"/>
  <c r="E23" i="1" l="1"/>
  <c r="C24" i="1" l="1"/>
  <c r="D24" i="1"/>
  <c r="E24" i="1" l="1"/>
  <c r="C25" i="1" l="1"/>
  <c r="D25" i="1" s="1"/>
  <c r="E25" i="1" l="1"/>
  <c r="C26" i="1" l="1"/>
  <c r="D26" i="1"/>
  <c r="E26" i="1" l="1"/>
  <c r="C27" i="1" l="1"/>
  <c r="D27" i="1"/>
  <c r="E27" i="1" l="1"/>
  <c r="C28" i="1" l="1"/>
  <c r="D28" i="1"/>
  <c r="E28" i="1" l="1"/>
  <c r="C29" i="1" l="1"/>
  <c r="D29" i="1"/>
  <c r="E29" i="1" l="1"/>
  <c r="C30" i="1" l="1"/>
  <c r="D30" i="1"/>
  <c r="E30" i="1" l="1"/>
  <c r="C31" i="1" l="1"/>
  <c r="D31" i="1"/>
  <c r="E31" i="1" l="1"/>
  <c r="C32" i="1" l="1"/>
  <c r="D32" i="1"/>
  <c r="E32" i="1" l="1"/>
  <c r="C33" i="1" l="1"/>
  <c r="D33" i="1"/>
  <c r="E33" i="1" l="1"/>
  <c r="C34" i="1" l="1"/>
  <c r="D34" i="1"/>
  <c r="E34" i="1" l="1"/>
  <c r="C35" i="1" l="1"/>
  <c r="D35" i="1"/>
  <c r="E35" i="1" l="1"/>
  <c r="C36" i="1" l="1"/>
  <c r="D36" i="1"/>
  <c r="E36" i="1" l="1"/>
  <c r="C37" i="1" l="1"/>
  <c r="D37" i="1" s="1"/>
  <c r="E37" i="1" l="1"/>
  <c r="C38" i="1" l="1"/>
  <c r="D38" i="1"/>
  <c r="E38" i="1" l="1"/>
  <c r="C39" i="1" l="1"/>
  <c r="D39" i="1"/>
  <c r="E39" i="1" l="1"/>
  <c r="C40" i="1" l="1"/>
  <c r="D40" i="1"/>
  <c r="E40" i="1" l="1"/>
  <c r="C41" i="1" l="1"/>
  <c r="D41" i="1"/>
  <c r="E41" i="1" l="1"/>
  <c r="C42" i="1" l="1"/>
  <c r="D42" i="1"/>
  <c r="E42" i="1" l="1"/>
  <c r="C43" i="1" l="1"/>
  <c r="D43" i="1"/>
  <c r="E43" i="1" l="1"/>
  <c r="C44" i="1" l="1"/>
  <c r="D44" i="1"/>
  <c r="E44" i="1" l="1"/>
  <c r="C45" i="1" l="1"/>
  <c r="D45" i="1" s="1"/>
  <c r="E45" i="1" l="1"/>
  <c r="C46" i="1" l="1"/>
  <c r="D46" i="1"/>
  <c r="E46" i="1" l="1"/>
  <c r="C47" i="1" l="1"/>
  <c r="D47" i="1"/>
  <c r="E47" i="1" l="1"/>
  <c r="C48" i="1" l="1"/>
  <c r="D48" i="1"/>
  <c r="E48" i="1" l="1"/>
  <c r="C49" i="1" l="1"/>
  <c r="D49" i="1"/>
  <c r="E49" i="1" l="1"/>
  <c r="C50" i="1" l="1"/>
  <c r="D50" i="1"/>
  <c r="E50" i="1" l="1"/>
  <c r="C51" i="1" l="1"/>
  <c r="D51" i="1"/>
  <c r="E51" i="1" l="1"/>
  <c r="C52" i="1" l="1"/>
  <c r="D52" i="1"/>
  <c r="E52" i="1" s="1"/>
</calcChain>
</file>

<file path=xl/sharedStrings.xml><?xml version="1.0" encoding="utf-8"?>
<sst xmlns="http://schemas.openxmlformats.org/spreadsheetml/2006/main" count="7" uniqueCount="7">
  <si>
    <t>i</t>
  </si>
  <si>
    <t>y(i)</t>
  </si>
  <si>
    <t>t(i)</t>
  </si>
  <si>
    <t>f( t(i), y(i))</t>
  </si>
  <si>
    <t>y(i+1)</t>
  </si>
  <si>
    <t>egzaktno</t>
  </si>
  <si>
    <t>pogreška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</si>
</sst>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Graf</a:t>
            </a:r>
            <a:r>
              <a:rPr lang="hr-HR" baseline="0"/>
              <a:t> u</a:t>
            </a:r>
            <a:r>
              <a:rPr lang="hr-HR"/>
              <a:t>sporedbe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Egzaktno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Sheet1!$B$2:$B$52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</c:numCache>
            </c:numRef>
          </c:cat>
          <c:val>
            <c:numRef>
              <c:f>Sheet1!$C$2:$C$52</c:f>
              <c:numCache>
                <c:formatCode>General</c:formatCode>
                <c:ptCount val="51"/>
                <c:pt idx="0">
                  <c:v>0.1</c:v>
                </c:pt>
                <c:pt idx="1">
                  <c:v>0.11900000000000001</c:v>
                </c:pt>
                <c:pt idx="2">
                  <c:v>0.14138390000000001</c:v>
                </c:pt>
                <c:pt idx="3">
                  <c:v>0.167661739282079</c:v>
                </c:pt>
                <c:pt idx="4">
                  <c:v>0.19838304125658562</c:v>
                </c:pt>
                <c:pt idx="5">
                  <c:v>0.23412406640208153</c:v>
                </c:pt>
                <c:pt idx="6">
                  <c:v>0.27546747183563319</c:v>
                </c:pt>
                <c:pt idx="7">
                  <c:v>0.32297273339880828</c:v>
                </c:pt>
                <c:pt idx="8">
                  <c:v>0.37713614142666019</c:v>
                </c:pt>
                <c:pt idx="9">
                  <c:v>0.43834020279497327</c:v>
                </c:pt>
                <c:pt idx="10">
                  <c:v>0.50679403001533407</c:v>
                </c:pt>
                <c:pt idx="11">
                  <c:v>0.58246881713248255</c:v>
                </c:pt>
                <c:pt idx="12">
                  <c:v>0.66503558826580778</c:v>
                </c:pt>
                <c:pt idx="13">
                  <c:v>0.75381547255296444</c:v>
                </c:pt>
                <c:pt idx="14">
                  <c:v>0.84775479039753243</c:v>
                </c:pt>
                <c:pt idx="15">
                  <c:v>0.94543693001284246</c:v>
                </c:pt>
                <c:pt idx="16">
                  <c:v>1.0451392171522</c:v>
                </c:pt>
                <c:pt idx="17">
                  <c:v>1.1449354622596888</c:v>
                </c:pt>
                <c:pt idx="18">
                  <c:v>1.2428348334376458</c:v>
                </c:pt>
                <c:pt idx="19">
                  <c:v>1.3369379578045768</c:v>
                </c:pt>
                <c:pt idx="20">
                  <c:v>1.425585239063625</c:v>
                </c:pt>
                <c:pt idx="21">
                  <c:v>1.5074729594927407</c:v>
                </c:pt>
                <c:pt idx="22">
                  <c:v>1.5817200790311086</c:v>
                </c:pt>
                <c:pt idx="23">
                  <c:v>1.6478802539963127</c:v>
                </c:pt>
                <c:pt idx="24">
                  <c:v>1.7059053716444801</c:v>
                </c:pt>
                <c:pt idx="25">
                  <c:v>1.756075132272827</c:v>
                </c:pt>
                <c:pt idx="26">
                  <c:v>1.7989101717086897</c:v>
                </c:pt>
                <c:pt idx="27">
                  <c:v>1.835084425462729</c:v>
                </c:pt>
                <c:pt idx="28">
                  <c:v>1.8653478256976874</c:v>
                </c:pt>
                <c:pt idx="29">
                  <c:v>1.890465139753716</c:v>
                </c:pt>
                <c:pt idx="30">
                  <c:v>1.9111723232420554</c:v>
                </c:pt>
                <c:pt idx="31">
                  <c:v>1.928148822977823</c:v>
                </c:pt>
                <c:pt idx="32">
                  <c:v>1.9420027992183111</c:v>
                </c:pt>
                <c:pt idx="33">
                  <c:v>1.9532658718447977</c:v>
                </c:pt>
                <c:pt idx="34">
                  <c:v>1.9623942896023956</c:v>
                </c:pt>
                <c:pt idx="35">
                  <c:v>1.9697740127364656</c:v>
                </c:pt>
                <c:pt idx="36">
                  <c:v>1.975727849158567</c:v>
                </c:pt>
                <c:pt idx="37">
                  <c:v>1.9805233655962067</c:v>
                </c:pt>
                <c:pt idx="38">
                  <c:v>1.9843807585481954</c:v>
                </c:pt>
                <c:pt idx="39">
                  <c:v>1.9874802107682032</c:v>
                </c:pt>
                <c:pt idx="40">
                  <c:v>1.9899684941023217</c:v>
                </c:pt>
                <c:pt idx="41">
                  <c:v>1.9919647321707998</c:v>
                </c:pt>
                <c:pt idx="42">
                  <c:v>1.9935653291837312</c:v>
                </c:pt>
                <c:pt idx="43">
                  <c:v>1.9948481228481336</c:v>
                </c:pt>
                <c:pt idx="44">
                  <c:v>1.9958758440946882</c:v>
                </c:pt>
                <c:pt idx="45">
                  <c:v>1.9966989744095573</c:v>
                </c:pt>
                <c:pt idx="46">
                  <c:v>1.9973580898506511</c:v>
                </c:pt>
                <c:pt idx="47">
                  <c:v>1.9978857739115972</c:v>
                </c:pt>
                <c:pt idx="48">
                  <c:v>1.9983081721340825</c:v>
                </c:pt>
                <c:pt idx="49">
                  <c:v>1.9986462514791132</c:v>
                </c:pt>
                <c:pt idx="50">
                  <c:v>1.9989168179197847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3-4ECB-B0FE-02757E32D459}"/>
            </c:ext>
          </c:extLst>
        </c:ser>
        <c:ser>
          <c:idx val="1"/>
          <c:order val="1"/>
          <c:tx>
            <c:v>Aproksimacija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Sheet1!$B$2:$B$52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</c:numCache>
            </c:numRef>
          </c:cat>
          <c:val>
            <c:numRef>
              <c:f>Sheet1!$F$2:$F$52</c:f>
              <c:numCache>
                <c:formatCode>General</c:formatCode>
                <c:ptCount val="51"/>
                <c:pt idx="0">
                  <c:v>0.1</c:v>
                </c:pt>
                <c:pt idx="1">
                  <c:v>0.12080297027537157</c:v>
                </c:pt>
                <c:pt idx="2">
                  <c:v>0.1456019383001054</c:v>
                </c:pt>
                <c:pt idx="3">
                  <c:v>0.17501761639707253</c:v>
                </c:pt>
                <c:pt idx="4">
                  <c:v>0.20970404815502014</c:v>
                </c:pt>
                <c:pt idx="5">
                  <c:v>0.25032199599667065</c:v>
                </c:pt>
                <c:pt idx="6">
                  <c:v>0.29749995792848971</c:v>
                </c:pt>
                <c:pt idx="7">
                  <c:v>0.3517818082407782</c:v>
                </c:pt>
                <c:pt idx="8">
                  <c:v>0.41356203562357036</c:v>
                </c:pt>
                <c:pt idx="9">
                  <c:v>0.48301258315171441</c:v>
                </c:pt>
                <c:pt idx="10">
                  <c:v>0.56000912433014771</c:v>
                </c:pt>
                <c:pt idx="11">
                  <c:v>0.64406844975231514</c:v>
                </c:pt>
                <c:pt idx="12">
                  <c:v>0.73431113622935285</c:v>
                </c:pt>
                <c:pt idx="13">
                  <c:v>0.82946320109442639</c:v>
                </c:pt>
                <c:pt idx="14">
                  <c:v>0.9279058063293586</c:v>
                </c:pt>
                <c:pt idx="15">
                  <c:v>1.027773366023371</c:v>
                </c:pt>
                <c:pt idx="16">
                  <c:v>1.1270895620369141</c:v>
                </c:pt>
                <c:pt idx="17">
                  <c:v>1.2239212001606041</c:v>
                </c:pt>
                <c:pt idx="18">
                  <c:v>1.3165250591096618</c:v>
                </c:pt>
                <c:pt idx="19">
                  <c:v>1.403464781663577</c:v>
                </c:pt>
                <c:pt idx="20">
                  <c:v>1.4836826743214737</c:v>
                </c:pt>
                <c:pt idx="21">
                  <c:v>1.5565220317129629</c:v>
                </c:pt>
                <c:pt idx="22">
                  <c:v>1.6217056108619563</c:v>
                </c:pt>
                <c:pt idx="23">
                  <c:v>1.6792824451563861</c:v>
                </c:pt>
                <c:pt idx="24">
                  <c:v>1.7295574187947078</c:v>
                </c:pt>
                <c:pt idx="25">
                  <c:v>1.7730166481314842</c:v>
                </c:pt>
                <c:pt idx="26">
                  <c:v>1.810258278210672</c:v>
                </c:pt>
                <c:pt idx="27">
                  <c:v>1.8419343351979218</c:v>
                </c:pt>
                <c:pt idx="28">
                  <c:v>1.8687058297895791</c:v>
                </c:pt>
                <c:pt idx="29">
                  <c:v>1.8912108563496925</c:v>
                </c:pt>
                <c:pt idx="30">
                  <c:v>1.9100440107649685</c:v>
                </c:pt>
                <c:pt idx="31">
                  <c:v>1.9257448535344202</c:v>
                </c:pt>
                <c:pt idx="32">
                  <c:v>1.9387931002392431</c:v>
                </c:pt>
                <c:pt idx="33">
                  <c:v>1.9496084837271033</c:v>
                </c:pt>
                <c:pt idx="34">
                  <c:v>1.9585536213652373</c:v>
                </c:pt>
                <c:pt idx="35">
                  <c:v>1.965938624436792</c:v>
                </c:pt>
                <c:pt idx="36">
                  <c:v>1.9720265463680513</c:v>
                </c:pt>
                <c:pt idx="37">
                  <c:v>1.9770390589112108</c:v>
                </c:pt>
                <c:pt idx="38">
                  <c:v>1.9811619684076154</c:v>
                </c:pt>
                <c:pt idx="39">
                  <c:v>1.9845503458097313</c:v>
                </c:pt>
                <c:pt idx="40">
                  <c:v>1.9873331559428031</c:v>
                </c:pt>
                <c:pt idx="41">
                  <c:v>1.9896173453710913</c:v>
                </c:pt>
                <c:pt idx="42">
                  <c:v>1.991491394520789</c:v>
                </c:pt>
                <c:pt idx="43">
                  <c:v>1.9930283666842423</c:v>
                </c:pt>
                <c:pt idx="44">
                  <c:v>1.9942885004722291</c:v>
                </c:pt>
                <c:pt idx="45">
                  <c:v>1.9953213977670208</c:v>
                </c:pt>
                <c:pt idx="46">
                  <c:v>1.9961678594767289</c:v>
                </c:pt>
                <c:pt idx="47">
                  <c:v>1.9968614185969091</c:v>
                </c:pt>
                <c:pt idx="48">
                  <c:v>1.9974296157020828</c:v>
                </c:pt>
                <c:pt idx="49">
                  <c:v>1.9978950569482969</c:v>
                </c:pt>
                <c:pt idx="50">
                  <c:v>1.9982762895393684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3-4ECB-B0FE-02757E32D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510287"/>
        <c:axId val="2088511119"/>
      </c:lineChart>
      <c:catAx>
        <c:axId val="20885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11119"/>
        <c:crosses val="autoZero"/>
        <c:auto val="1"/>
        <c:lblAlgn val="ctr"/>
        <c:lblOffset val="100"/>
        <c:noMultiLvlLbl val="0"/>
      </c:catAx>
      <c:valAx>
        <c:axId val="208851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1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Egzaktno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</c:numCache>
            </c:numRef>
          </c:xVal>
          <c:yVal>
            <c:numRef>
              <c:f>Sheet1!$F$2:$F$52</c:f>
              <c:numCache>
                <c:formatCode>General</c:formatCode>
                <c:ptCount val="51"/>
                <c:pt idx="0">
                  <c:v>0.1</c:v>
                </c:pt>
                <c:pt idx="1">
                  <c:v>0.12080297027537157</c:v>
                </c:pt>
                <c:pt idx="2">
                  <c:v>0.1456019383001054</c:v>
                </c:pt>
                <c:pt idx="3">
                  <c:v>0.17501761639707253</c:v>
                </c:pt>
                <c:pt idx="4">
                  <c:v>0.20970404815502014</c:v>
                </c:pt>
                <c:pt idx="5">
                  <c:v>0.25032199599667065</c:v>
                </c:pt>
                <c:pt idx="6">
                  <c:v>0.29749995792848971</c:v>
                </c:pt>
                <c:pt idx="7">
                  <c:v>0.3517818082407782</c:v>
                </c:pt>
                <c:pt idx="8">
                  <c:v>0.41356203562357036</c:v>
                </c:pt>
                <c:pt idx="9">
                  <c:v>0.48301258315171441</c:v>
                </c:pt>
                <c:pt idx="10">
                  <c:v>0.56000912433014771</c:v>
                </c:pt>
                <c:pt idx="11">
                  <c:v>0.64406844975231514</c:v>
                </c:pt>
                <c:pt idx="12">
                  <c:v>0.73431113622935285</c:v>
                </c:pt>
                <c:pt idx="13">
                  <c:v>0.82946320109442639</c:v>
                </c:pt>
                <c:pt idx="14">
                  <c:v>0.9279058063293586</c:v>
                </c:pt>
                <c:pt idx="15">
                  <c:v>1.027773366023371</c:v>
                </c:pt>
                <c:pt idx="16">
                  <c:v>1.1270895620369141</c:v>
                </c:pt>
                <c:pt idx="17">
                  <c:v>1.2239212001606041</c:v>
                </c:pt>
                <c:pt idx="18">
                  <c:v>1.3165250591096618</c:v>
                </c:pt>
                <c:pt idx="19">
                  <c:v>1.403464781663577</c:v>
                </c:pt>
                <c:pt idx="20">
                  <c:v>1.4836826743214737</c:v>
                </c:pt>
                <c:pt idx="21">
                  <c:v>1.5565220317129629</c:v>
                </c:pt>
                <c:pt idx="22">
                  <c:v>1.6217056108619563</c:v>
                </c:pt>
                <c:pt idx="23">
                  <c:v>1.6792824451563861</c:v>
                </c:pt>
                <c:pt idx="24">
                  <c:v>1.7295574187947078</c:v>
                </c:pt>
                <c:pt idx="25">
                  <c:v>1.7730166481314842</c:v>
                </c:pt>
                <c:pt idx="26">
                  <c:v>1.810258278210672</c:v>
                </c:pt>
                <c:pt idx="27">
                  <c:v>1.8419343351979218</c:v>
                </c:pt>
                <c:pt idx="28">
                  <c:v>1.8687058297895791</c:v>
                </c:pt>
                <c:pt idx="29">
                  <c:v>1.8912108563496925</c:v>
                </c:pt>
                <c:pt idx="30">
                  <c:v>1.9100440107649685</c:v>
                </c:pt>
                <c:pt idx="31">
                  <c:v>1.9257448535344202</c:v>
                </c:pt>
                <c:pt idx="32">
                  <c:v>1.9387931002392431</c:v>
                </c:pt>
                <c:pt idx="33">
                  <c:v>1.9496084837271033</c:v>
                </c:pt>
                <c:pt idx="34">
                  <c:v>1.9585536213652373</c:v>
                </c:pt>
                <c:pt idx="35">
                  <c:v>1.965938624436792</c:v>
                </c:pt>
                <c:pt idx="36">
                  <c:v>1.9720265463680513</c:v>
                </c:pt>
                <c:pt idx="37">
                  <c:v>1.9770390589112108</c:v>
                </c:pt>
                <c:pt idx="38">
                  <c:v>1.9811619684076154</c:v>
                </c:pt>
                <c:pt idx="39">
                  <c:v>1.9845503458097313</c:v>
                </c:pt>
                <c:pt idx="40">
                  <c:v>1.9873331559428031</c:v>
                </c:pt>
                <c:pt idx="41">
                  <c:v>1.9896173453710913</c:v>
                </c:pt>
                <c:pt idx="42">
                  <c:v>1.991491394520789</c:v>
                </c:pt>
                <c:pt idx="43">
                  <c:v>1.9930283666842423</c:v>
                </c:pt>
                <c:pt idx="44">
                  <c:v>1.9942885004722291</c:v>
                </c:pt>
                <c:pt idx="45">
                  <c:v>1.9953213977670208</c:v>
                </c:pt>
                <c:pt idx="46">
                  <c:v>1.9961678594767289</c:v>
                </c:pt>
                <c:pt idx="47">
                  <c:v>1.9968614185969091</c:v>
                </c:pt>
                <c:pt idx="48">
                  <c:v>1.9974296157020828</c:v>
                </c:pt>
                <c:pt idx="49">
                  <c:v>1.9978950569482969</c:v>
                </c:pt>
                <c:pt idx="50">
                  <c:v>1.9982762895393684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47-486D-802D-BD6731122D30}"/>
            </c:ext>
          </c:extLst>
        </c:ser>
        <c:ser>
          <c:idx val="1"/>
          <c:order val="1"/>
          <c:tx>
            <c:v>Aproksimacija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</c:numCache>
            </c:numRef>
          </c:xVal>
          <c:yVal>
            <c:numRef>
              <c:f>Sheet1!$C$2:$C$52</c:f>
              <c:numCache>
                <c:formatCode>General</c:formatCode>
                <c:ptCount val="51"/>
                <c:pt idx="0">
                  <c:v>0.1</c:v>
                </c:pt>
                <c:pt idx="1">
                  <c:v>0.11900000000000001</c:v>
                </c:pt>
                <c:pt idx="2">
                  <c:v>0.14138390000000001</c:v>
                </c:pt>
                <c:pt idx="3">
                  <c:v>0.167661739282079</c:v>
                </c:pt>
                <c:pt idx="4">
                  <c:v>0.19838304125658562</c:v>
                </c:pt>
                <c:pt idx="5">
                  <c:v>0.23412406640208153</c:v>
                </c:pt>
                <c:pt idx="6">
                  <c:v>0.27546747183563319</c:v>
                </c:pt>
                <c:pt idx="7">
                  <c:v>0.32297273339880828</c:v>
                </c:pt>
                <c:pt idx="8">
                  <c:v>0.37713614142666019</c:v>
                </c:pt>
                <c:pt idx="9">
                  <c:v>0.43834020279497327</c:v>
                </c:pt>
                <c:pt idx="10">
                  <c:v>0.50679403001533407</c:v>
                </c:pt>
                <c:pt idx="11">
                  <c:v>0.58246881713248255</c:v>
                </c:pt>
                <c:pt idx="12">
                  <c:v>0.66503558826580778</c:v>
                </c:pt>
                <c:pt idx="13">
                  <c:v>0.75381547255296444</c:v>
                </c:pt>
                <c:pt idx="14">
                  <c:v>0.84775479039753243</c:v>
                </c:pt>
                <c:pt idx="15">
                  <c:v>0.94543693001284246</c:v>
                </c:pt>
                <c:pt idx="16">
                  <c:v>1.0451392171522</c:v>
                </c:pt>
                <c:pt idx="17">
                  <c:v>1.1449354622596888</c:v>
                </c:pt>
                <c:pt idx="18">
                  <c:v>1.2428348334376458</c:v>
                </c:pt>
                <c:pt idx="19">
                  <c:v>1.3369379578045768</c:v>
                </c:pt>
                <c:pt idx="20">
                  <c:v>1.425585239063625</c:v>
                </c:pt>
                <c:pt idx="21">
                  <c:v>1.5074729594927407</c:v>
                </c:pt>
                <c:pt idx="22">
                  <c:v>1.5817200790311086</c:v>
                </c:pt>
                <c:pt idx="23">
                  <c:v>1.6478802539963127</c:v>
                </c:pt>
                <c:pt idx="24">
                  <c:v>1.7059053716444801</c:v>
                </c:pt>
                <c:pt idx="25">
                  <c:v>1.756075132272827</c:v>
                </c:pt>
                <c:pt idx="26">
                  <c:v>1.7989101717086897</c:v>
                </c:pt>
                <c:pt idx="27">
                  <c:v>1.835084425462729</c:v>
                </c:pt>
                <c:pt idx="28">
                  <c:v>1.8653478256976874</c:v>
                </c:pt>
                <c:pt idx="29">
                  <c:v>1.890465139753716</c:v>
                </c:pt>
                <c:pt idx="30">
                  <c:v>1.9111723232420554</c:v>
                </c:pt>
                <c:pt idx="31">
                  <c:v>1.928148822977823</c:v>
                </c:pt>
                <c:pt idx="32">
                  <c:v>1.9420027992183111</c:v>
                </c:pt>
                <c:pt idx="33">
                  <c:v>1.9532658718447977</c:v>
                </c:pt>
                <c:pt idx="34">
                  <c:v>1.9623942896023956</c:v>
                </c:pt>
                <c:pt idx="35">
                  <c:v>1.9697740127364656</c:v>
                </c:pt>
                <c:pt idx="36">
                  <c:v>1.975727849158567</c:v>
                </c:pt>
                <c:pt idx="37">
                  <c:v>1.9805233655962067</c:v>
                </c:pt>
                <c:pt idx="38">
                  <c:v>1.9843807585481954</c:v>
                </c:pt>
                <c:pt idx="39">
                  <c:v>1.9874802107682032</c:v>
                </c:pt>
                <c:pt idx="40">
                  <c:v>1.9899684941023217</c:v>
                </c:pt>
                <c:pt idx="41">
                  <c:v>1.9919647321707998</c:v>
                </c:pt>
                <c:pt idx="42">
                  <c:v>1.9935653291837312</c:v>
                </c:pt>
                <c:pt idx="43">
                  <c:v>1.9948481228481336</c:v>
                </c:pt>
                <c:pt idx="44">
                  <c:v>1.9958758440946882</c:v>
                </c:pt>
                <c:pt idx="45">
                  <c:v>1.9966989744095573</c:v>
                </c:pt>
                <c:pt idx="46">
                  <c:v>1.9973580898506511</c:v>
                </c:pt>
                <c:pt idx="47">
                  <c:v>1.9978857739115972</c:v>
                </c:pt>
                <c:pt idx="48">
                  <c:v>1.9983081721340825</c:v>
                </c:pt>
                <c:pt idx="49">
                  <c:v>1.9986462514791132</c:v>
                </c:pt>
                <c:pt idx="50">
                  <c:v>1.9989168179197847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47-486D-802D-BD6731122D30}"/>
            </c:ext>
          </c:extLst>
        </c:ser>
        <c:ser>
          <c:idx val="2"/>
          <c:order val="2"/>
          <c:tx>
            <c:v>Pogreška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</c:numCache>
            </c:numRef>
          </c:xVal>
          <c:yVal>
            <c:numRef>
              <c:f>Sheet1!$G$2:$G$52</c:f>
              <c:numCache>
                <c:formatCode>General</c:formatCode>
                <c:ptCount val="51"/>
                <c:pt idx="0">
                  <c:v>0</c:v>
                </c:pt>
                <c:pt idx="1">
                  <c:v>1.8029702753715598E-3</c:v>
                </c:pt>
                <c:pt idx="2">
                  <c:v>4.2180383001053923E-3</c:v>
                </c:pt>
                <c:pt idx="3">
                  <c:v>7.3558771149935254E-3</c:v>
                </c:pt>
                <c:pt idx="4">
                  <c:v>1.1321006898434516E-2</c:v>
                </c:pt>
                <c:pt idx="5">
                  <c:v>1.6197929594589128E-2</c:v>
                </c:pt>
                <c:pt idx="6">
                  <c:v>2.2032486092856518E-2</c:v>
                </c:pt>
                <c:pt idx="7">
                  <c:v>2.8809074841969928E-2</c:v>
                </c:pt>
                <c:pt idx="8">
                  <c:v>3.6425894196910169E-2</c:v>
                </c:pt>
                <c:pt idx="9">
                  <c:v>4.4672380356741148E-2</c:v>
                </c:pt>
                <c:pt idx="10">
                  <c:v>5.3215094314813638E-2</c:v>
                </c:pt>
                <c:pt idx="11">
                  <c:v>6.1599632619832589E-2</c:v>
                </c:pt>
                <c:pt idx="12">
                  <c:v>6.927554796354507E-2</c:v>
                </c:pt>
                <c:pt idx="13">
                  <c:v>7.5647728541461956E-2</c:v>
                </c:pt>
                <c:pt idx="14">
                  <c:v>8.0151015931826164E-2</c:v>
                </c:pt>
                <c:pt idx="15">
                  <c:v>8.2336436010528535E-2</c:v>
                </c:pt>
                <c:pt idx="16">
                  <c:v>8.1950344884714088E-2</c:v>
                </c:pt>
                <c:pt idx="17">
                  <c:v>7.8985737900915343E-2</c:v>
                </c:pt>
                <c:pt idx="18">
                  <c:v>7.3690225672015996E-2</c:v>
                </c:pt>
                <c:pt idx="19">
                  <c:v>6.6526823859000217E-2</c:v>
                </c:pt>
                <c:pt idx="20">
                  <c:v>5.8097435257848717E-2</c:v>
                </c:pt>
                <c:pt idx="21">
                  <c:v>4.9049072220222145E-2</c:v>
                </c:pt>
                <c:pt idx="22">
                  <c:v>3.9985531830847743E-2</c:v>
                </c:pt>
                <c:pt idx="23">
                  <c:v>3.1402191160073478E-2</c:v>
                </c:pt>
                <c:pt idx="24">
                  <c:v>2.3652047150227729E-2</c:v>
                </c:pt>
                <c:pt idx="25">
                  <c:v>1.6941515858657219E-2</c:v>
                </c:pt>
                <c:pt idx="26">
                  <c:v>1.1348106501982258E-2</c:v>
                </c:pt>
                <c:pt idx="27">
                  <c:v>6.8499097351928384E-3</c:v>
                </c:pt>
                <c:pt idx="28">
                  <c:v>3.3580040918916865E-3</c:v>
                </c:pt>
                <c:pt idx="29">
                  <c:v>7.4571659597655326E-4</c:v>
                </c:pt>
                <c:pt idx="30">
                  <c:v>1.1283124770868902E-3</c:v>
                </c:pt>
                <c:pt idx="31">
                  <c:v>2.4039694434028203E-3</c:v>
                </c:pt>
                <c:pt idx="32">
                  <c:v>3.2096989790679764E-3</c:v>
                </c:pt>
                <c:pt idx="33">
                  <c:v>3.6573881176944489E-3</c:v>
                </c:pt>
                <c:pt idx="34">
                  <c:v>3.84066823715834E-3</c:v>
                </c:pt>
                <c:pt idx="35">
                  <c:v>3.8353882996735589E-3</c:v>
                </c:pt>
                <c:pt idx="36">
                  <c:v>3.7013027905157259E-3</c:v>
                </c:pt>
                <c:pt idx="37">
                  <c:v>3.4843066849958859E-3</c:v>
                </c:pt>
                <c:pt idx="38">
                  <c:v>3.218790140580019E-3</c:v>
                </c:pt>
                <c:pt idx="39">
                  <c:v>2.9298649584719172E-3</c:v>
                </c:pt>
                <c:pt idx="40">
                  <c:v>2.6353381595185521E-3</c:v>
                </c:pt>
                <c:pt idx="41">
                  <c:v>2.347386799708584E-3</c:v>
                </c:pt>
                <c:pt idx="42">
                  <c:v>2.0739346629421451E-3</c:v>
                </c:pt>
                <c:pt idx="43">
                  <c:v>1.8197561638912951E-3</c:v>
                </c:pt>
                <c:pt idx="44">
                  <c:v>1.5873436224591586E-3</c:v>
                </c:pt>
                <c:pt idx="45">
                  <c:v>1.377576642536571E-3</c:v>
                </c:pt>
                <c:pt idx="46">
                  <c:v>1.1902303739221853E-3</c:v>
                </c:pt>
                <c:pt idx="47">
                  <c:v>1.0243553146880302E-3</c:v>
                </c:pt>
                <c:pt idx="48">
                  <c:v>8.7855643199974409E-4</c:v>
                </c:pt>
                <c:pt idx="49">
                  <c:v>7.511945308162904E-4</c:v>
                </c:pt>
                <c:pt idx="50">
                  <c:v>6.4052838041628313E-4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47-486D-802D-BD6731122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708095"/>
        <c:axId val="2087708511"/>
      </c:scatterChart>
      <c:valAx>
        <c:axId val="208770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708511"/>
        <c:crosses val="autoZero"/>
        <c:crossBetween val="midCat"/>
      </c:valAx>
      <c:valAx>
        <c:axId val="208770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708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Pogreška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</c:numCache>
            </c:numRef>
          </c:xVal>
          <c:yVal>
            <c:numRef>
              <c:f>Sheet1!$G$2:$G$52</c:f>
              <c:numCache>
                <c:formatCode>General</c:formatCode>
                <c:ptCount val="51"/>
                <c:pt idx="0">
                  <c:v>0</c:v>
                </c:pt>
                <c:pt idx="1">
                  <c:v>1.8029702753715598E-3</c:v>
                </c:pt>
                <c:pt idx="2">
                  <c:v>4.2180383001053923E-3</c:v>
                </c:pt>
                <c:pt idx="3">
                  <c:v>7.3558771149935254E-3</c:v>
                </c:pt>
                <c:pt idx="4">
                  <c:v>1.1321006898434516E-2</c:v>
                </c:pt>
                <c:pt idx="5">
                  <c:v>1.6197929594589128E-2</c:v>
                </c:pt>
                <c:pt idx="6">
                  <c:v>2.2032486092856518E-2</c:v>
                </c:pt>
                <c:pt idx="7">
                  <c:v>2.8809074841969928E-2</c:v>
                </c:pt>
                <c:pt idx="8">
                  <c:v>3.6425894196910169E-2</c:v>
                </c:pt>
                <c:pt idx="9">
                  <c:v>4.4672380356741148E-2</c:v>
                </c:pt>
                <c:pt idx="10">
                  <c:v>5.3215094314813638E-2</c:v>
                </c:pt>
                <c:pt idx="11">
                  <c:v>6.1599632619832589E-2</c:v>
                </c:pt>
                <c:pt idx="12">
                  <c:v>6.927554796354507E-2</c:v>
                </c:pt>
                <c:pt idx="13">
                  <c:v>7.5647728541461956E-2</c:v>
                </c:pt>
                <c:pt idx="14">
                  <c:v>8.0151015931826164E-2</c:v>
                </c:pt>
                <c:pt idx="15">
                  <c:v>8.2336436010528535E-2</c:v>
                </c:pt>
                <c:pt idx="16">
                  <c:v>8.1950344884714088E-2</c:v>
                </c:pt>
                <c:pt idx="17">
                  <c:v>7.8985737900915343E-2</c:v>
                </c:pt>
                <c:pt idx="18">
                  <c:v>7.3690225672015996E-2</c:v>
                </c:pt>
                <c:pt idx="19">
                  <c:v>6.6526823859000217E-2</c:v>
                </c:pt>
                <c:pt idx="20">
                  <c:v>5.8097435257848717E-2</c:v>
                </c:pt>
                <c:pt idx="21">
                  <c:v>4.9049072220222145E-2</c:v>
                </c:pt>
                <c:pt idx="22">
                  <c:v>3.9985531830847743E-2</c:v>
                </c:pt>
                <c:pt idx="23">
                  <c:v>3.1402191160073478E-2</c:v>
                </c:pt>
                <c:pt idx="24">
                  <c:v>2.3652047150227729E-2</c:v>
                </c:pt>
                <c:pt idx="25">
                  <c:v>1.6941515858657219E-2</c:v>
                </c:pt>
                <c:pt idx="26">
                  <c:v>1.1348106501982258E-2</c:v>
                </c:pt>
                <c:pt idx="27">
                  <c:v>6.8499097351928384E-3</c:v>
                </c:pt>
                <c:pt idx="28">
                  <c:v>3.3580040918916865E-3</c:v>
                </c:pt>
                <c:pt idx="29">
                  <c:v>7.4571659597655326E-4</c:v>
                </c:pt>
                <c:pt idx="30">
                  <c:v>1.1283124770868902E-3</c:v>
                </c:pt>
                <c:pt idx="31">
                  <c:v>2.4039694434028203E-3</c:v>
                </c:pt>
                <c:pt idx="32">
                  <c:v>3.2096989790679764E-3</c:v>
                </c:pt>
                <c:pt idx="33">
                  <c:v>3.6573881176944489E-3</c:v>
                </c:pt>
                <c:pt idx="34">
                  <c:v>3.84066823715834E-3</c:v>
                </c:pt>
                <c:pt idx="35">
                  <c:v>3.8353882996735589E-3</c:v>
                </c:pt>
                <c:pt idx="36">
                  <c:v>3.7013027905157259E-3</c:v>
                </c:pt>
                <c:pt idx="37">
                  <c:v>3.4843066849958859E-3</c:v>
                </c:pt>
                <c:pt idx="38">
                  <c:v>3.218790140580019E-3</c:v>
                </c:pt>
                <c:pt idx="39">
                  <c:v>2.9298649584719172E-3</c:v>
                </c:pt>
                <c:pt idx="40">
                  <c:v>2.6353381595185521E-3</c:v>
                </c:pt>
                <c:pt idx="41">
                  <c:v>2.347386799708584E-3</c:v>
                </c:pt>
                <c:pt idx="42">
                  <c:v>2.0739346629421451E-3</c:v>
                </c:pt>
                <c:pt idx="43">
                  <c:v>1.8197561638912951E-3</c:v>
                </c:pt>
                <c:pt idx="44">
                  <c:v>1.5873436224591586E-3</c:v>
                </c:pt>
                <c:pt idx="45">
                  <c:v>1.377576642536571E-3</c:v>
                </c:pt>
                <c:pt idx="46">
                  <c:v>1.1902303739221853E-3</c:v>
                </c:pt>
                <c:pt idx="47">
                  <c:v>1.0243553146880302E-3</c:v>
                </c:pt>
                <c:pt idx="48">
                  <c:v>8.7855643199974409E-4</c:v>
                </c:pt>
                <c:pt idx="49">
                  <c:v>7.511945308162904E-4</c:v>
                </c:pt>
                <c:pt idx="50">
                  <c:v>6.4052838041628313E-4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75-445A-BEB1-480883B15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9039"/>
        <c:axId val="66764447"/>
      </c:scatterChart>
      <c:valAx>
        <c:axId val="6675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4447"/>
        <c:crosses val="autoZero"/>
        <c:crossBetween val="midCat"/>
      </c:valAx>
      <c:valAx>
        <c:axId val="6676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296009</xdr:colOff>
      <xdr:row>1</xdr:row>
      <xdr:rowOff>52754</xdr:rowOff>
    </xdr:from>
    <xdr:to>
      <xdr:col>14</xdr:col>
      <xdr:colOff>600809</xdr:colOff>
      <xdr:row>16</xdr:row>
      <xdr:rowOff>70339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D63BC-0EF8-4969-A2B1-4D9A30906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366347</xdr:colOff>
      <xdr:row>17</xdr:row>
      <xdr:rowOff>117231</xdr:rowOff>
    </xdr:from>
    <xdr:to>
      <xdr:col>15</xdr:col>
      <xdr:colOff>61547</xdr:colOff>
      <xdr:row>32</xdr:row>
      <xdr:rowOff>134816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D343CF-311C-4234-960F-6D235DAB6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254976</xdr:colOff>
      <xdr:row>34</xdr:row>
      <xdr:rowOff>152399</xdr:rowOff>
    </xdr:from>
    <xdr:to>
      <xdr:col>14</xdr:col>
      <xdr:colOff>559776</xdr:colOff>
      <xdr:row>49</xdr:row>
      <xdr:rowOff>169984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8957BE-A0DE-4300-A184-37B04EFCF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DA55-A4EE-4359-8EC9-6BC000F4F309}">
  <dimension ref="A1:G52"/>
  <sheetViews>
    <sheetView tabSelected="1" topLeftCell="A28" zoomScale="130" zoomScaleNormal="130" workbookViewId="0">
      <selection activeCell="E54" sqref="E54"/>
    </sheetView>
  </sheetViews>
  <sheetFormatPr defaultRowHeight="14.4" x14ac:dyDescent="0.3"/>
  <sheetData>
    <row r="1" spans="1:7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>
        <v>0</v>
      </c>
      <c r="C2" s="1">
        <v>0.1</v>
      </c>
      <c r="D2" s="1">
        <f>2*C2 - C2^2</f>
        <v>0.19</v>
      </c>
      <c r="E2" s="1">
        <f>C2+0.1*D2</f>
        <v>0.11900000000000001</v>
      </c>
      <c r="F2" s="1">
        <f>2 / (1 + 19 * EXP(-2 * B2))</f>
        <v>0.1</v>
      </c>
      <c r="G2" s="1">
        <f>ABS(F2-C2)</f>
        <v>0</v>
      </c>
    </row>
    <row r="3" spans="1:7" x14ac:dyDescent="0.3">
      <c r="A3" s="1">
        <v>2</v>
      </c>
      <c r="B3" s="1">
        <f>B2+0.1</f>
        <v>0.1</v>
      </c>
      <c r="C3" s="1">
        <f>E2</f>
        <v>0.11900000000000001</v>
      </c>
      <c r="D3" s="1">
        <f t="shared" ref="D3:D52" si="0">2*C3 - C3^2</f>
        <v>0.22383900000000001</v>
      </c>
      <c r="E3" s="1">
        <f>C3 + 0.1 * D3</f>
        <v>0.14138390000000001</v>
      </c>
      <c r="F3" s="1">
        <f t="shared" ref="F3:F52" si="1">2 / (1 + 19 * EXP(-2 * B3))</f>
        <v>0.12080297027537157</v>
      </c>
      <c r="G3" s="1">
        <f t="shared" ref="G3:G52" si="2">ABS(F3-C3)</f>
        <v>1.8029702753715598E-3</v>
      </c>
    </row>
    <row r="4" spans="1:7" x14ac:dyDescent="0.3">
      <c r="A4" s="1">
        <v>3</v>
      </c>
      <c r="B4" s="1">
        <f t="shared" ref="B4:B51" si="3">B3+0.1</f>
        <v>0.2</v>
      </c>
      <c r="C4" s="1">
        <f t="shared" ref="C4:C52" si="4">E3</f>
        <v>0.14138390000000001</v>
      </c>
      <c r="D4" s="1">
        <f t="shared" si="0"/>
        <v>0.26277839282079002</v>
      </c>
      <c r="E4" s="1">
        <f>C4 + 0.1 * D4</f>
        <v>0.167661739282079</v>
      </c>
      <c r="F4" s="1">
        <f t="shared" si="1"/>
        <v>0.1456019383001054</v>
      </c>
      <c r="G4" s="1">
        <f t="shared" si="2"/>
        <v>4.2180383001053923E-3</v>
      </c>
    </row>
    <row r="5" spans="1:7" x14ac:dyDescent="0.3">
      <c r="A5" s="1">
        <v>4</v>
      </c>
      <c r="B5" s="1">
        <f t="shared" si="3"/>
        <v>0.30000000000000004</v>
      </c>
      <c r="C5" s="1">
        <f t="shared" si="4"/>
        <v>0.167661739282079</v>
      </c>
      <c r="D5" s="1">
        <f t="shared" si="0"/>
        <v>0.30721301974506615</v>
      </c>
      <c r="E5" s="1">
        <f t="shared" ref="E4:E52" si="5">C5 + 0.1 * D5</f>
        <v>0.19838304125658562</v>
      </c>
      <c r="F5" s="1">
        <f t="shared" si="1"/>
        <v>0.17501761639707253</v>
      </c>
      <c r="G5" s="1">
        <f t="shared" si="2"/>
        <v>7.3558771149935254E-3</v>
      </c>
    </row>
    <row r="6" spans="1:7" x14ac:dyDescent="0.3">
      <c r="A6" s="1">
        <v>5</v>
      </c>
      <c r="B6" s="1">
        <f t="shared" si="3"/>
        <v>0.4</v>
      </c>
      <c r="C6" s="1">
        <f t="shared" si="4"/>
        <v>0.19838304125658562</v>
      </c>
      <c r="D6" s="1">
        <f t="shared" si="0"/>
        <v>0.35741025145495908</v>
      </c>
      <c r="E6" s="1">
        <f t="shared" si="5"/>
        <v>0.23412406640208153</v>
      </c>
      <c r="F6" s="1">
        <f t="shared" si="1"/>
        <v>0.20970404815502014</v>
      </c>
      <c r="G6" s="1">
        <f t="shared" si="2"/>
        <v>1.1321006898434516E-2</v>
      </c>
    </row>
    <row r="7" spans="1:7" x14ac:dyDescent="0.3">
      <c r="A7" s="1">
        <v>6</v>
      </c>
      <c r="B7" s="1">
        <f t="shared" si="3"/>
        <v>0.5</v>
      </c>
      <c r="C7" s="1">
        <f t="shared" si="4"/>
        <v>0.23412406640208153</v>
      </c>
      <c r="D7" s="1">
        <f t="shared" si="0"/>
        <v>0.41343405433551678</v>
      </c>
      <c r="E7" s="1">
        <f t="shared" si="5"/>
        <v>0.27546747183563319</v>
      </c>
      <c r="F7" s="1">
        <f t="shared" si="1"/>
        <v>0.25032199599667065</v>
      </c>
      <c r="G7" s="1">
        <f t="shared" si="2"/>
        <v>1.6197929594589128E-2</v>
      </c>
    </row>
    <row r="8" spans="1:7" x14ac:dyDescent="0.3">
      <c r="A8" s="1">
        <v>7</v>
      </c>
      <c r="B8" s="1">
        <f t="shared" si="3"/>
        <v>0.6</v>
      </c>
      <c r="C8" s="1">
        <f t="shared" si="4"/>
        <v>0.27546747183563319</v>
      </c>
      <c r="D8" s="1">
        <f t="shared" si="0"/>
        <v>0.47505261563175105</v>
      </c>
      <c r="E8" s="1">
        <f t="shared" si="5"/>
        <v>0.32297273339880828</v>
      </c>
      <c r="F8" s="1">
        <f t="shared" si="1"/>
        <v>0.29749995792848971</v>
      </c>
      <c r="G8" s="1">
        <f t="shared" si="2"/>
        <v>2.2032486092856518E-2</v>
      </c>
    </row>
    <row r="9" spans="1:7" x14ac:dyDescent="0.3">
      <c r="A9" s="1">
        <v>8</v>
      </c>
      <c r="B9" s="1">
        <f t="shared" si="3"/>
        <v>0.7</v>
      </c>
      <c r="C9" s="1">
        <f t="shared" si="4"/>
        <v>0.32297273339880828</v>
      </c>
      <c r="D9" s="1">
        <f t="shared" si="0"/>
        <v>0.54163408027851889</v>
      </c>
      <c r="E9" s="1">
        <f t="shared" si="5"/>
        <v>0.37713614142666019</v>
      </c>
      <c r="F9" s="1">
        <f t="shared" si="1"/>
        <v>0.3517818082407782</v>
      </c>
      <c r="G9" s="1">
        <f t="shared" si="2"/>
        <v>2.8809074841969928E-2</v>
      </c>
    </row>
    <row r="10" spans="1:7" x14ac:dyDescent="0.3">
      <c r="A10" s="1">
        <v>9</v>
      </c>
      <c r="B10" s="1">
        <f t="shared" si="3"/>
        <v>0.79999999999999993</v>
      </c>
      <c r="C10" s="1">
        <f t="shared" si="4"/>
        <v>0.37713614142666019</v>
      </c>
      <c r="D10" s="1">
        <f t="shared" si="0"/>
        <v>0.61204061368313056</v>
      </c>
      <c r="E10" s="1">
        <f t="shared" si="5"/>
        <v>0.43834020279497327</v>
      </c>
      <c r="F10" s="1">
        <f t="shared" si="1"/>
        <v>0.41356203562357036</v>
      </c>
      <c r="G10" s="1">
        <f t="shared" si="2"/>
        <v>3.6425894196910169E-2</v>
      </c>
    </row>
    <row r="11" spans="1:7" x14ac:dyDescent="0.3">
      <c r="A11" s="1">
        <v>10</v>
      </c>
      <c r="B11" s="1">
        <f t="shared" si="3"/>
        <v>0.89999999999999991</v>
      </c>
      <c r="C11" s="1">
        <f t="shared" si="4"/>
        <v>0.43834020279497327</v>
      </c>
      <c r="D11" s="1">
        <f t="shared" si="0"/>
        <v>0.68453827220360819</v>
      </c>
      <c r="E11" s="1">
        <f t="shared" si="5"/>
        <v>0.50679403001533407</v>
      </c>
      <c r="F11" s="1">
        <f t="shared" si="1"/>
        <v>0.48301258315171441</v>
      </c>
      <c r="G11" s="1">
        <f t="shared" si="2"/>
        <v>4.4672380356741148E-2</v>
      </c>
    </row>
    <row r="12" spans="1:7" x14ac:dyDescent="0.3">
      <c r="A12" s="1">
        <v>11</v>
      </c>
      <c r="B12" s="1">
        <f t="shared" si="3"/>
        <v>0.99999999999999989</v>
      </c>
      <c r="C12" s="1">
        <f t="shared" si="4"/>
        <v>0.50679403001533407</v>
      </c>
      <c r="D12" s="1">
        <f t="shared" si="0"/>
        <v>0.75674787117148479</v>
      </c>
      <c r="E12" s="1">
        <f t="shared" si="5"/>
        <v>0.58246881713248255</v>
      </c>
      <c r="F12" s="1">
        <f t="shared" si="1"/>
        <v>0.56000912433014771</v>
      </c>
      <c r="G12" s="1">
        <f t="shared" si="2"/>
        <v>5.3215094314813638E-2</v>
      </c>
    </row>
    <row r="13" spans="1:7" x14ac:dyDescent="0.3">
      <c r="A13" s="1">
        <v>12</v>
      </c>
      <c r="B13" s="1">
        <f t="shared" si="3"/>
        <v>1.0999999999999999</v>
      </c>
      <c r="C13" s="1">
        <f t="shared" si="4"/>
        <v>0.58246881713248255</v>
      </c>
      <c r="D13" s="1">
        <f t="shared" si="0"/>
        <v>0.82566771133325179</v>
      </c>
      <c r="E13" s="1">
        <f t="shared" si="5"/>
        <v>0.66503558826580778</v>
      </c>
      <c r="F13" s="1">
        <f t="shared" si="1"/>
        <v>0.64406844975231514</v>
      </c>
      <c r="G13" s="1">
        <f t="shared" si="2"/>
        <v>6.1599632619832589E-2</v>
      </c>
    </row>
    <row r="14" spans="1:7" x14ac:dyDescent="0.3">
      <c r="A14" s="1">
        <v>13</v>
      </c>
      <c r="B14" s="1">
        <f t="shared" si="3"/>
        <v>1.2</v>
      </c>
      <c r="C14" s="1">
        <f t="shared" si="4"/>
        <v>0.66503558826580778</v>
      </c>
      <c r="D14" s="1">
        <f t="shared" si="0"/>
        <v>0.88779884287156663</v>
      </c>
      <c r="E14" s="1">
        <f t="shared" si="5"/>
        <v>0.75381547255296444</v>
      </c>
      <c r="F14" s="1">
        <f t="shared" si="1"/>
        <v>0.73431113622935285</v>
      </c>
      <c r="G14" s="1">
        <f t="shared" si="2"/>
        <v>6.927554796354507E-2</v>
      </c>
    </row>
    <row r="15" spans="1:7" x14ac:dyDescent="0.3">
      <c r="A15" s="1">
        <v>14</v>
      </c>
      <c r="B15" s="1">
        <f t="shared" si="3"/>
        <v>1.3</v>
      </c>
      <c r="C15" s="1">
        <f t="shared" si="4"/>
        <v>0.75381547255296444</v>
      </c>
      <c r="D15" s="1">
        <f t="shared" si="0"/>
        <v>0.93939317844567982</v>
      </c>
      <c r="E15" s="1">
        <f t="shared" si="5"/>
        <v>0.84775479039753243</v>
      </c>
      <c r="F15" s="1">
        <f t="shared" si="1"/>
        <v>0.82946320109442639</v>
      </c>
      <c r="G15" s="1">
        <f t="shared" si="2"/>
        <v>7.5647728541461956E-2</v>
      </c>
    </row>
    <row r="16" spans="1:7" x14ac:dyDescent="0.3">
      <c r="A16" s="1">
        <v>15</v>
      </c>
      <c r="B16" s="1">
        <f t="shared" si="3"/>
        <v>1.4000000000000001</v>
      </c>
      <c r="C16" s="1">
        <f t="shared" si="4"/>
        <v>0.84775479039753243</v>
      </c>
      <c r="D16" s="1">
        <f t="shared" si="0"/>
        <v>0.97682139615310071</v>
      </c>
      <c r="E16" s="1">
        <f t="shared" si="5"/>
        <v>0.94543693001284246</v>
      </c>
      <c r="F16" s="1">
        <f t="shared" si="1"/>
        <v>0.9279058063293586</v>
      </c>
      <c r="G16" s="1">
        <f t="shared" si="2"/>
        <v>8.0151015931826164E-2</v>
      </c>
    </row>
    <row r="17" spans="1:7" x14ac:dyDescent="0.3">
      <c r="A17" s="1">
        <v>16</v>
      </c>
      <c r="B17" s="1">
        <f t="shared" si="3"/>
        <v>1.5000000000000002</v>
      </c>
      <c r="C17" s="1">
        <f t="shared" si="4"/>
        <v>0.94543693001284246</v>
      </c>
      <c r="D17" s="1">
        <f t="shared" si="0"/>
        <v>0.99702287139357659</v>
      </c>
      <c r="E17" s="1">
        <f t="shared" si="5"/>
        <v>1.0451392171522</v>
      </c>
      <c r="F17" s="1">
        <f t="shared" si="1"/>
        <v>1.027773366023371</v>
      </c>
      <c r="G17" s="1">
        <f t="shared" si="2"/>
        <v>8.2336436010528535E-2</v>
      </c>
    </row>
    <row r="18" spans="1:7" x14ac:dyDescent="0.3">
      <c r="A18" s="1">
        <v>17</v>
      </c>
      <c r="B18" s="1">
        <f t="shared" si="3"/>
        <v>1.6000000000000003</v>
      </c>
      <c r="C18" s="1">
        <f t="shared" si="4"/>
        <v>1.0451392171522</v>
      </c>
      <c r="D18" s="1">
        <f t="shared" si="0"/>
        <v>0.99796245107488657</v>
      </c>
      <c r="E18" s="1">
        <f t="shared" si="5"/>
        <v>1.1449354622596888</v>
      </c>
      <c r="F18" s="1">
        <f t="shared" si="1"/>
        <v>1.1270895620369141</v>
      </c>
      <c r="G18" s="1">
        <f t="shared" si="2"/>
        <v>8.1950344884714088E-2</v>
      </c>
    </row>
    <row r="19" spans="1:7" x14ac:dyDescent="0.3">
      <c r="A19" s="1">
        <v>18</v>
      </c>
      <c r="B19" s="1">
        <f t="shared" si="3"/>
        <v>1.7000000000000004</v>
      </c>
      <c r="C19" s="1">
        <f t="shared" si="4"/>
        <v>1.1449354622596888</v>
      </c>
      <c r="D19" s="1">
        <f t="shared" si="0"/>
        <v>0.9789937117795704</v>
      </c>
      <c r="E19" s="1">
        <f t="shared" si="5"/>
        <v>1.2428348334376458</v>
      </c>
      <c r="F19" s="1">
        <f t="shared" si="1"/>
        <v>1.2239212001606041</v>
      </c>
      <c r="G19" s="1">
        <f t="shared" si="2"/>
        <v>7.8985737900915343E-2</v>
      </c>
    </row>
    <row r="20" spans="1:7" x14ac:dyDescent="0.3">
      <c r="A20" s="1">
        <v>19</v>
      </c>
      <c r="B20" s="1">
        <f t="shared" si="3"/>
        <v>1.8000000000000005</v>
      </c>
      <c r="C20" s="1">
        <f t="shared" si="4"/>
        <v>1.2428348334376458</v>
      </c>
      <c r="D20" s="1">
        <f t="shared" si="0"/>
        <v>0.9410312436693109</v>
      </c>
      <c r="E20" s="1">
        <f t="shared" si="5"/>
        <v>1.3369379578045768</v>
      </c>
      <c r="F20" s="1">
        <f t="shared" si="1"/>
        <v>1.3165250591096618</v>
      </c>
      <c r="G20" s="1">
        <f t="shared" si="2"/>
        <v>7.3690225672015996E-2</v>
      </c>
    </row>
    <row r="21" spans="1:7" x14ac:dyDescent="0.3">
      <c r="A21" s="1">
        <v>20</v>
      </c>
      <c r="B21" s="1">
        <f t="shared" si="3"/>
        <v>1.9000000000000006</v>
      </c>
      <c r="C21" s="1">
        <f t="shared" si="4"/>
        <v>1.3369379578045768</v>
      </c>
      <c r="D21" s="1">
        <f t="shared" si="0"/>
        <v>0.88647281259048127</v>
      </c>
      <c r="E21" s="1">
        <f t="shared" si="5"/>
        <v>1.425585239063625</v>
      </c>
      <c r="F21" s="1">
        <f t="shared" si="1"/>
        <v>1.403464781663577</v>
      </c>
      <c r="G21" s="1">
        <f t="shared" si="2"/>
        <v>6.6526823859000217E-2</v>
      </c>
    </row>
    <row r="22" spans="1:7" x14ac:dyDescent="0.3">
      <c r="A22" s="1">
        <v>21</v>
      </c>
      <c r="B22" s="1">
        <f t="shared" si="3"/>
        <v>2.0000000000000004</v>
      </c>
      <c r="C22" s="1">
        <f t="shared" si="4"/>
        <v>1.425585239063625</v>
      </c>
      <c r="D22" s="1">
        <f t="shared" si="0"/>
        <v>0.81887720429115696</v>
      </c>
      <c r="E22" s="1">
        <f t="shared" si="5"/>
        <v>1.5074729594927407</v>
      </c>
      <c r="F22" s="1">
        <f t="shared" si="1"/>
        <v>1.4836826743214737</v>
      </c>
      <c r="G22" s="1">
        <f t="shared" si="2"/>
        <v>5.8097435257848717E-2</v>
      </c>
    </row>
    <row r="23" spans="1:7" x14ac:dyDescent="0.3">
      <c r="A23" s="1">
        <v>22</v>
      </c>
      <c r="B23" s="1">
        <f t="shared" si="3"/>
        <v>2.1000000000000005</v>
      </c>
      <c r="C23" s="1">
        <f t="shared" si="4"/>
        <v>1.5074729594927407</v>
      </c>
      <c r="D23" s="1">
        <f t="shared" si="0"/>
        <v>0.74247119538367912</v>
      </c>
      <c r="E23" s="1">
        <f t="shared" si="5"/>
        <v>1.5817200790311086</v>
      </c>
      <c r="F23" s="1">
        <f t="shared" si="1"/>
        <v>1.5565220317129629</v>
      </c>
      <c r="G23" s="1">
        <f t="shared" si="2"/>
        <v>4.9049072220222145E-2</v>
      </c>
    </row>
    <row r="24" spans="1:7" x14ac:dyDescent="0.3">
      <c r="A24" s="1">
        <v>23</v>
      </c>
      <c r="B24" s="1">
        <f t="shared" si="3"/>
        <v>2.2000000000000006</v>
      </c>
      <c r="C24" s="1">
        <f t="shared" si="4"/>
        <v>1.5817200790311086</v>
      </c>
      <c r="D24" s="1">
        <f t="shared" si="0"/>
        <v>0.66160174965204099</v>
      </c>
      <c r="E24" s="1">
        <f t="shared" si="5"/>
        <v>1.6478802539963127</v>
      </c>
      <c r="F24" s="1">
        <f t="shared" si="1"/>
        <v>1.6217056108619563</v>
      </c>
      <c r="G24" s="1">
        <f t="shared" si="2"/>
        <v>3.9985531830847743E-2</v>
      </c>
    </row>
    <row r="25" spans="1:7" x14ac:dyDescent="0.3">
      <c r="A25" s="1">
        <v>24</v>
      </c>
      <c r="B25" s="1">
        <f t="shared" si="3"/>
        <v>2.3000000000000007</v>
      </c>
      <c r="C25" s="1">
        <f t="shared" si="4"/>
        <v>1.6478802539963127</v>
      </c>
      <c r="D25" s="1">
        <f t="shared" si="0"/>
        <v>0.58025117648167335</v>
      </c>
      <c r="E25" s="1">
        <f t="shared" si="5"/>
        <v>1.7059053716444801</v>
      </c>
      <c r="F25" s="1">
        <f t="shared" si="1"/>
        <v>1.6792824451563861</v>
      </c>
      <c r="G25" s="1">
        <f t="shared" si="2"/>
        <v>3.1402191160073478E-2</v>
      </c>
    </row>
    <row r="26" spans="1:7" x14ac:dyDescent="0.3">
      <c r="A26" s="1">
        <v>25</v>
      </c>
      <c r="B26" s="1">
        <f t="shared" si="3"/>
        <v>2.4000000000000008</v>
      </c>
      <c r="C26" s="1">
        <f t="shared" si="4"/>
        <v>1.7059053716444801</v>
      </c>
      <c r="D26" s="1">
        <f t="shared" si="0"/>
        <v>0.50169760628346838</v>
      </c>
      <c r="E26" s="1">
        <f t="shared" si="5"/>
        <v>1.756075132272827</v>
      </c>
      <c r="F26" s="1">
        <f t="shared" si="1"/>
        <v>1.7295574187947078</v>
      </c>
      <c r="G26" s="1">
        <f t="shared" si="2"/>
        <v>2.3652047150227729E-2</v>
      </c>
    </row>
    <row r="27" spans="1:7" x14ac:dyDescent="0.3">
      <c r="A27" s="1">
        <v>26</v>
      </c>
      <c r="B27" s="1">
        <f t="shared" si="3"/>
        <v>2.5000000000000009</v>
      </c>
      <c r="C27" s="1">
        <f t="shared" si="4"/>
        <v>1.756075132272827</v>
      </c>
      <c r="D27" s="1">
        <f t="shared" si="0"/>
        <v>0.4283503943586271</v>
      </c>
      <c r="E27" s="1">
        <f t="shared" si="5"/>
        <v>1.7989101717086897</v>
      </c>
      <c r="F27" s="1">
        <f t="shared" si="1"/>
        <v>1.7730166481314842</v>
      </c>
      <c r="G27" s="1">
        <f t="shared" si="2"/>
        <v>1.6941515858657219E-2</v>
      </c>
    </row>
    <row r="28" spans="1:7" x14ac:dyDescent="0.3">
      <c r="A28" s="1">
        <v>27</v>
      </c>
      <c r="B28" s="1">
        <f t="shared" si="3"/>
        <v>2.600000000000001</v>
      </c>
      <c r="C28" s="1">
        <f t="shared" si="4"/>
        <v>1.7989101717086897</v>
      </c>
      <c r="D28" s="1">
        <f t="shared" si="0"/>
        <v>0.36174253754039176</v>
      </c>
      <c r="E28" s="1">
        <f t="shared" si="5"/>
        <v>1.835084425462729</v>
      </c>
      <c r="F28" s="1">
        <f t="shared" si="1"/>
        <v>1.810258278210672</v>
      </c>
      <c r="G28" s="1">
        <f t="shared" si="2"/>
        <v>1.1348106501982258E-2</v>
      </c>
    </row>
    <row r="29" spans="1:7" x14ac:dyDescent="0.3">
      <c r="A29" s="1">
        <v>28</v>
      </c>
      <c r="B29" s="1">
        <f t="shared" si="3"/>
        <v>2.7000000000000011</v>
      </c>
      <c r="C29" s="1">
        <f t="shared" si="4"/>
        <v>1.835084425462729</v>
      </c>
      <c r="D29" s="1">
        <f t="shared" si="0"/>
        <v>0.30263400234958393</v>
      </c>
      <c r="E29" s="1">
        <f t="shared" si="5"/>
        <v>1.8653478256976874</v>
      </c>
      <c r="F29" s="1">
        <f t="shared" si="1"/>
        <v>1.8419343351979218</v>
      </c>
      <c r="G29" s="1">
        <f t="shared" si="2"/>
        <v>6.8499097351928384E-3</v>
      </c>
    </row>
    <row r="30" spans="1:7" x14ac:dyDescent="0.3">
      <c r="A30" s="1">
        <v>29</v>
      </c>
      <c r="B30" s="1">
        <f t="shared" si="3"/>
        <v>2.8000000000000012</v>
      </c>
      <c r="C30" s="1">
        <f t="shared" si="4"/>
        <v>1.8653478256976874</v>
      </c>
      <c r="D30" s="1">
        <f t="shared" si="0"/>
        <v>0.25117314056028484</v>
      </c>
      <c r="E30" s="1">
        <f t="shared" si="5"/>
        <v>1.890465139753716</v>
      </c>
      <c r="F30" s="1">
        <f t="shared" si="1"/>
        <v>1.8687058297895791</v>
      </c>
      <c r="G30" s="1">
        <f t="shared" si="2"/>
        <v>3.3580040918916865E-3</v>
      </c>
    </row>
    <row r="31" spans="1:7" x14ac:dyDescent="0.3">
      <c r="A31" s="1">
        <v>30</v>
      </c>
      <c r="B31" s="1">
        <f t="shared" si="3"/>
        <v>2.9000000000000012</v>
      </c>
      <c r="C31" s="1">
        <f t="shared" si="4"/>
        <v>1.890465139753716</v>
      </c>
      <c r="D31" s="1">
        <f t="shared" si="0"/>
        <v>0.20707183488339487</v>
      </c>
      <c r="E31" s="1">
        <f t="shared" si="5"/>
        <v>1.9111723232420554</v>
      </c>
      <c r="F31" s="1">
        <f t="shared" si="1"/>
        <v>1.8912108563496925</v>
      </c>
      <c r="G31" s="1">
        <f t="shared" si="2"/>
        <v>7.4571659597655326E-4</v>
      </c>
    </row>
    <row r="32" spans="1:7" x14ac:dyDescent="0.3">
      <c r="A32" s="1">
        <v>31</v>
      </c>
      <c r="B32" s="1">
        <f t="shared" si="3"/>
        <v>3.0000000000000013</v>
      </c>
      <c r="C32" s="1">
        <f t="shared" si="4"/>
        <v>1.9111723232420554</v>
      </c>
      <c r="D32" s="1">
        <f t="shared" si="0"/>
        <v>0.16976499735767536</v>
      </c>
      <c r="E32" s="1">
        <f t="shared" si="5"/>
        <v>1.928148822977823</v>
      </c>
      <c r="F32" s="1">
        <f t="shared" si="1"/>
        <v>1.9100440107649685</v>
      </c>
      <c r="G32" s="1">
        <f t="shared" si="2"/>
        <v>1.1283124770868902E-3</v>
      </c>
    </row>
    <row r="33" spans="1:7" x14ac:dyDescent="0.3">
      <c r="A33" s="1">
        <v>32</v>
      </c>
      <c r="B33" s="1">
        <f t="shared" si="3"/>
        <v>3.1000000000000014</v>
      </c>
      <c r="C33" s="1">
        <f t="shared" si="4"/>
        <v>1.928148822977823</v>
      </c>
      <c r="D33" s="1">
        <f t="shared" si="0"/>
        <v>0.13853976240488164</v>
      </c>
      <c r="E33" s="1">
        <f t="shared" si="5"/>
        <v>1.9420027992183111</v>
      </c>
      <c r="F33" s="1">
        <f t="shared" si="1"/>
        <v>1.9257448535344202</v>
      </c>
      <c r="G33" s="1">
        <f t="shared" si="2"/>
        <v>2.4039694434028203E-3</v>
      </c>
    </row>
    <row r="34" spans="1:7" x14ac:dyDescent="0.3">
      <c r="A34" s="1">
        <v>33</v>
      </c>
      <c r="B34" s="1">
        <f t="shared" si="3"/>
        <v>3.2000000000000015</v>
      </c>
      <c r="C34" s="1">
        <f t="shared" si="4"/>
        <v>1.9420027992183111</v>
      </c>
      <c r="D34" s="1">
        <f t="shared" si="0"/>
        <v>0.11263072626486625</v>
      </c>
      <c r="E34" s="1">
        <f t="shared" si="5"/>
        <v>1.9532658718447977</v>
      </c>
      <c r="F34" s="1">
        <f t="shared" si="1"/>
        <v>1.9387931002392431</v>
      </c>
      <c r="G34" s="1">
        <f t="shared" si="2"/>
        <v>3.2096989790679764E-3</v>
      </c>
    </row>
    <row r="35" spans="1:7" x14ac:dyDescent="0.3">
      <c r="A35" s="1">
        <v>34</v>
      </c>
      <c r="B35" s="1">
        <f t="shared" si="3"/>
        <v>3.3000000000000016</v>
      </c>
      <c r="C35" s="1">
        <f t="shared" si="4"/>
        <v>1.9532658718447977</v>
      </c>
      <c r="D35" s="1">
        <f t="shared" si="0"/>
        <v>9.1284177575977843E-2</v>
      </c>
      <c r="E35" s="1">
        <f t="shared" si="5"/>
        <v>1.9623942896023956</v>
      </c>
      <c r="F35" s="1">
        <f t="shared" si="1"/>
        <v>1.9496084837271033</v>
      </c>
      <c r="G35" s="1">
        <f t="shared" si="2"/>
        <v>3.6573881176944489E-3</v>
      </c>
    </row>
    <row r="36" spans="1:7" x14ac:dyDescent="0.3">
      <c r="A36" s="1">
        <v>35</v>
      </c>
      <c r="B36" s="1">
        <f t="shared" si="3"/>
        <v>3.4000000000000017</v>
      </c>
      <c r="C36" s="1">
        <f t="shared" si="4"/>
        <v>1.9623942896023956</v>
      </c>
      <c r="D36" s="1">
        <f t="shared" si="0"/>
        <v>7.3797231340700264E-2</v>
      </c>
      <c r="E36" s="1">
        <f t="shared" si="5"/>
        <v>1.9697740127364656</v>
      </c>
      <c r="F36" s="1">
        <f t="shared" si="1"/>
        <v>1.9585536213652373</v>
      </c>
      <c r="G36" s="1">
        <f t="shared" si="2"/>
        <v>3.84066823715834E-3</v>
      </c>
    </row>
    <row r="37" spans="1:7" x14ac:dyDescent="0.3">
      <c r="A37" s="1">
        <v>36</v>
      </c>
      <c r="B37" s="1">
        <f t="shared" si="3"/>
        <v>3.5000000000000018</v>
      </c>
      <c r="C37" s="1">
        <f t="shared" si="4"/>
        <v>1.9697740127364656</v>
      </c>
      <c r="D37" s="1">
        <f t="shared" si="0"/>
        <v>5.9538364221013662E-2</v>
      </c>
      <c r="E37" s="1">
        <f t="shared" si="5"/>
        <v>1.975727849158567</v>
      </c>
      <c r="F37" s="1">
        <f t="shared" si="1"/>
        <v>1.965938624436792</v>
      </c>
      <c r="G37" s="1">
        <f t="shared" si="2"/>
        <v>3.8353882996735589E-3</v>
      </c>
    </row>
    <row r="38" spans="1:7" x14ac:dyDescent="0.3">
      <c r="A38" s="1">
        <v>37</v>
      </c>
      <c r="B38" s="1">
        <f t="shared" si="3"/>
        <v>3.6000000000000019</v>
      </c>
      <c r="C38" s="1">
        <f t="shared" si="4"/>
        <v>1.975727849158567</v>
      </c>
      <c r="D38" s="1">
        <f t="shared" si="0"/>
        <v>4.7955164376396464E-2</v>
      </c>
      <c r="E38" s="1">
        <f t="shared" si="5"/>
        <v>1.9805233655962067</v>
      </c>
      <c r="F38" s="1">
        <f t="shared" si="1"/>
        <v>1.9720265463680513</v>
      </c>
      <c r="G38" s="1">
        <f t="shared" si="2"/>
        <v>3.7013027905157259E-3</v>
      </c>
    </row>
    <row r="39" spans="1:7" x14ac:dyDescent="0.3">
      <c r="A39" s="1">
        <v>38</v>
      </c>
      <c r="B39" s="1">
        <f t="shared" si="3"/>
        <v>3.700000000000002</v>
      </c>
      <c r="C39" s="1">
        <f t="shared" si="4"/>
        <v>1.9805233655962067</v>
      </c>
      <c r="D39" s="1">
        <f t="shared" si="0"/>
        <v>3.8573929519887695E-2</v>
      </c>
      <c r="E39" s="1">
        <f t="shared" si="5"/>
        <v>1.9843807585481954</v>
      </c>
      <c r="F39" s="1">
        <f t="shared" si="1"/>
        <v>1.9770390589112108</v>
      </c>
      <c r="G39" s="1">
        <f t="shared" si="2"/>
        <v>3.4843066849958859E-3</v>
      </c>
    </row>
    <row r="40" spans="1:7" x14ac:dyDescent="0.3">
      <c r="A40" s="1">
        <v>39</v>
      </c>
      <c r="B40" s="1">
        <f>B39+0.1</f>
        <v>3.800000000000002</v>
      </c>
      <c r="C40" s="1">
        <f t="shared" si="4"/>
        <v>1.9843807585481954</v>
      </c>
      <c r="D40" s="1">
        <f t="shared" si="0"/>
        <v>3.0994522200079366E-2</v>
      </c>
      <c r="E40" s="1">
        <f t="shared" si="5"/>
        <v>1.9874802107682032</v>
      </c>
      <c r="F40" s="1">
        <f t="shared" si="1"/>
        <v>1.9811619684076154</v>
      </c>
      <c r="G40" s="1">
        <f t="shared" si="2"/>
        <v>3.218790140580019E-3</v>
      </c>
    </row>
    <row r="41" spans="1:7" x14ac:dyDescent="0.3">
      <c r="A41" s="1">
        <v>40</v>
      </c>
      <c r="B41" s="1">
        <f t="shared" si="3"/>
        <v>3.9000000000000021</v>
      </c>
      <c r="C41" s="1">
        <f t="shared" si="4"/>
        <v>1.9874802107682032</v>
      </c>
      <c r="D41" s="1">
        <f t="shared" si="0"/>
        <v>2.4882833341184796E-2</v>
      </c>
      <c r="E41" s="1">
        <f t="shared" si="5"/>
        <v>1.9899684941023217</v>
      </c>
      <c r="F41" s="1">
        <f t="shared" si="1"/>
        <v>1.9845503458097313</v>
      </c>
      <c r="G41" s="1">
        <f t="shared" si="2"/>
        <v>2.9298649584719172E-3</v>
      </c>
    </row>
    <row r="42" spans="1:7" x14ac:dyDescent="0.3">
      <c r="A42" s="1">
        <v>41</v>
      </c>
      <c r="B42" s="1">
        <f t="shared" si="3"/>
        <v>4.0000000000000018</v>
      </c>
      <c r="C42" s="1">
        <f t="shared" si="4"/>
        <v>1.9899684941023217</v>
      </c>
      <c r="D42" s="1">
        <f t="shared" si="0"/>
        <v>1.9962380684781511E-2</v>
      </c>
      <c r="E42" s="1">
        <f t="shared" si="5"/>
        <v>1.9919647321707998</v>
      </c>
      <c r="F42" s="1">
        <f t="shared" si="1"/>
        <v>1.9873331559428031</v>
      </c>
      <c r="G42" s="1">
        <f t="shared" si="2"/>
        <v>2.6353381595185521E-3</v>
      </c>
    </row>
    <row r="43" spans="1:7" x14ac:dyDescent="0.3">
      <c r="A43" s="1">
        <v>42</v>
      </c>
      <c r="B43" s="1">
        <f t="shared" si="3"/>
        <v>4.1000000000000014</v>
      </c>
      <c r="C43" s="1">
        <f t="shared" si="4"/>
        <v>1.9919647321707998</v>
      </c>
      <c r="D43" s="1">
        <f t="shared" si="0"/>
        <v>1.6005970129313152E-2</v>
      </c>
      <c r="E43" s="1">
        <f t="shared" si="5"/>
        <v>1.9935653291837312</v>
      </c>
      <c r="F43" s="1">
        <f t="shared" si="1"/>
        <v>1.9896173453710913</v>
      </c>
      <c r="G43" s="1">
        <f t="shared" si="2"/>
        <v>2.347386799708584E-3</v>
      </c>
    </row>
    <row r="44" spans="1:7" x14ac:dyDescent="0.3">
      <c r="A44" s="1">
        <v>43</v>
      </c>
      <c r="B44" s="1">
        <f t="shared" si="3"/>
        <v>4.2000000000000011</v>
      </c>
      <c r="C44" s="1">
        <f t="shared" si="4"/>
        <v>1.9935653291837312</v>
      </c>
      <c r="D44" s="1">
        <f t="shared" si="0"/>
        <v>1.2827936644023819E-2</v>
      </c>
      <c r="E44" s="1">
        <f t="shared" si="5"/>
        <v>1.9948481228481336</v>
      </c>
      <c r="F44" s="1">
        <f t="shared" si="1"/>
        <v>1.991491394520789</v>
      </c>
      <c r="G44" s="1">
        <f t="shared" si="2"/>
        <v>2.0739346629421451E-3</v>
      </c>
    </row>
    <row r="45" spans="1:7" x14ac:dyDescent="0.3">
      <c r="A45" s="1">
        <v>44</v>
      </c>
      <c r="B45" s="1">
        <f t="shared" si="3"/>
        <v>4.3000000000000007</v>
      </c>
      <c r="C45" s="1">
        <f t="shared" si="4"/>
        <v>1.9948481228481336</v>
      </c>
      <c r="D45" s="1">
        <f t="shared" si="0"/>
        <v>1.0277212465545027E-2</v>
      </c>
      <c r="E45" s="1">
        <f t="shared" si="5"/>
        <v>1.9958758440946882</v>
      </c>
      <c r="F45" s="1">
        <f t="shared" si="1"/>
        <v>1.9930283666842423</v>
      </c>
      <c r="G45" s="1">
        <f t="shared" si="2"/>
        <v>1.8197561638912951E-3</v>
      </c>
    </row>
    <row r="46" spans="1:7" x14ac:dyDescent="0.3">
      <c r="A46" s="1">
        <v>45</v>
      </c>
      <c r="B46" s="1">
        <f t="shared" si="3"/>
        <v>4.4000000000000004</v>
      </c>
      <c r="C46" s="1">
        <f t="shared" si="4"/>
        <v>1.9958758440946882</v>
      </c>
      <c r="D46" s="1">
        <f t="shared" si="0"/>
        <v>8.2313031486922483E-3</v>
      </c>
      <c r="E46" s="1">
        <f t="shared" si="5"/>
        <v>1.9966989744095573</v>
      </c>
      <c r="F46" s="1">
        <f t="shared" si="1"/>
        <v>1.9942885004722291</v>
      </c>
      <c r="G46" s="1">
        <f t="shared" si="2"/>
        <v>1.5873436224591586E-3</v>
      </c>
    </row>
    <row r="47" spans="1:7" x14ac:dyDescent="0.3">
      <c r="A47" s="1">
        <v>46</v>
      </c>
      <c r="B47" s="1">
        <f t="shared" si="3"/>
        <v>4.5</v>
      </c>
      <c r="C47" s="1">
        <f t="shared" si="4"/>
        <v>1.9966989744095573</v>
      </c>
      <c r="D47" s="1">
        <f t="shared" si="0"/>
        <v>6.5911544109367171E-3</v>
      </c>
      <c r="E47" s="1">
        <f t="shared" si="5"/>
        <v>1.9973580898506511</v>
      </c>
      <c r="F47" s="1">
        <f t="shared" si="1"/>
        <v>1.9953213977670208</v>
      </c>
      <c r="G47" s="1">
        <f t="shared" si="2"/>
        <v>1.377576642536571E-3</v>
      </c>
    </row>
    <row r="48" spans="1:7" x14ac:dyDescent="0.3">
      <c r="A48" s="1">
        <v>47</v>
      </c>
      <c r="B48" s="1">
        <f>B47+0.1</f>
        <v>4.5999999999999996</v>
      </c>
      <c r="C48" s="1">
        <f t="shared" si="4"/>
        <v>1.9973580898506511</v>
      </c>
      <c r="D48" s="1">
        <f t="shared" si="0"/>
        <v>5.2768406094605425E-3</v>
      </c>
      <c r="E48" s="1">
        <f t="shared" si="5"/>
        <v>1.9978857739115972</v>
      </c>
      <c r="F48" s="1">
        <f t="shared" si="1"/>
        <v>1.9961678594767289</v>
      </c>
      <c r="G48" s="1">
        <f t="shared" si="2"/>
        <v>1.1902303739221853E-3</v>
      </c>
    </row>
    <row r="49" spans="1:7" x14ac:dyDescent="0.3">
      <c r="A49" s="1">
        <v>48</v>
      </c>
      <c r="B49" s="1">
        <f t="shared" si="3"/>
        <v>4.6999999999999993</v>
      </c>
      <c r="C49" s="1">
        <f t="shared" si="4"/>
        <v>1.9978857739115972</v>
      </c>
      <c r="D49" s="1">
        <f t="shared" si="0"/>
        <v>4.2239822248526515E-3</v>
      </c>
      <c r="E49" s="1">
        <f t="shared" si="5"/>
        <v>1.9983081721340825</v>
      </c>
      <c r="F49" s="1">
        <f t="shared" si="1"/>
        <v>1.9968614185969091</v>
      </c>
      <c r="G49" s="1">
        <f t="shared" si="2"/>
        <v>1.0243553146880302E-3</v>
      </c>
    </row>
    <row r="50" spans="1:7" x14ac:dyDescent="0.3">
      <c r="A50" s="1">
        <v>49</v>
      </c>
      <c r="B50" s="1">
        <f t="shared" si="3"/>
        <v>4.7999999999999989</v>
      </c>
      <c r="C50" s="1">
        <f t="shared" si="4"/>
        <v>1.9983081721340825</v>
      </c>
      <c r="D50" s="1">
        <f t="shared" si="0"/>
        <v>3.3807934503071735E-3</v>
      </c>
      <c r="E50" s="1">
        <f t="shared" si="5"/>
        <v>1.9986462514791132</v>
      </c>
      <c r="F50" s="1">
        <f t="shared" si="1"/>
        <v>1.9974296157020828</v>
      </c>
      <c r="G50" s="1">
        <f t="shared" si="2"/>
        <v>8.7855643199974409E-4</v>
      </c>
    </row>
    <row r="51" spans="1:7" x14ac:dyDescent="0.3">
      <c r="A51" s="1">
        <v>50</v>
      </c>
      <c r="B51" s="1">
        <f t="shared" si="3"/>
        <v>4.8999999999999986</v>
      </c>
      <c r="C51" s="1">
        <f t="shared" si="4"/>
        <v>1.9986462514791132</v>
      </c>
      <c r="D51" s="1">
        <f t="shared" si="0"/>
        <v>2.7056644067156022E-3</v>
      </c>
      <c r="E51" s="1">
        <f t="shared" si="5"/>
        <v>1.9989168179197847</v>
      </c>
      <c r="F51" s="1">
        <f t="shared" si="1"/>
        <v>1.9978950569482969</v>
      </c>
      <c r="G51" s="1">
        <f t="shared" si="2"/>
        <v>7.511945308162904E-4</v>
      </c>
    </row>
    <row r="52" spans="1:7" x14ac:dyDescent="0.3">
      <c r="A52" s="1">
        <v>51</v>
      </c>
      <c r="B52" s="1">
        <f>B51+0.1</f>
        <v>4.9999999999999982</v>
      </c>
      <c r="C52" s="1">
        <f t="shared" si="4"/>
        <v>1.9989168179197847</v>
      </c>
      <c r="D52" s="1">
        <f t="shared" si="0"/>
        <v>2.1651908770117245E-3</v>
      </c>
      <c r="E52" s="1">
        <f t="shared" si="5"/>
        <v>1.999133337007486</v>
      </c>
      <c r="F52" s="1">
        <f t="shared" si="1"/>
        <v>1.9982762895393684</v>
      </c>
      <c r="G52" s="1">
        <f t="shared" si="2"/>
        <v>6.4052838041628313E-4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</dc:creator>
  <cp:lastModifiedBy>Dan S</cp:lastModifiedBy>
  <dcterms:created xsi:type="dcterms:W3CDTF">2026-10-20T15:29:37Z</dcterms:created>
  <dcterms:modified xsi:type="dcterms:W3CDTF">2026-10-21T16:56:20Z</dcterms:modified>
</cp:coreProperties>
</file>